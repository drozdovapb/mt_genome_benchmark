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ndrei"/>
  <workbookPr/>
  <bookViews>
    <workbookView activeTab="0" xWindow="240" yWindow="60" windowWidth="16155" windowHeight="8505" tabRatio="500"/>
  </bookViews>
  <sheets>
    <sheet name="Sheet1" sheetId="1" r:id="rId4"/>
    <sheet name="Sheet2" sheetId="2" r:id="rId5"/>
    <sheet name="Sheet3" sheetId="3" r:id="rId6"/>
  </sheets>
  <calcPr/>
  <extLst>
    <ext uri="smNativeData">
      <pm:revision xmlns:pm="smNativeData" day="1790913974" val="1042" rev="124" rev64="64" revOS="3" revMin="124" revMax="0"/>
      <pm:docPrefs xmlns:pm="smNativeData" id="1790913974" fixedDigits="0" showNotice="1" showFrameBounds="1" autoChart="1" recalcOnPrint="1" recalcOnCopy="1" finalRounding="1" compatTextArt="1" tab="567" useDefinedPrintRange="1" printArea="currentSheet"/>
      <pm:compatibility xmlns:pm="smNativeData" id="1790913974" overlapCells="1"/>
      <pm:defCurrency xmlns:pm="smNativeData" id="1790913974"/>
    </ext>
  </extLst>
</workbook>
</file>

<file path=xl/sharedStrings.xml><?xml version="1.0" encoding="utf-8"?>
<sst xmlns="http://schemas.openxmlformats.org/spreadsheetml/2006/main" count="50" uniqueCount="20">
  <si>
    <t>Cov</t>
  </si>
  <si>
    <t>assembler</t>
  </si>
  <si>
    <t>length</t>
  </si>
  <si>
    <t>n_contigs</t>
  </si>
  <si>
    <t>min_fot_score</t>
  </si>
  <si>
    <t>lenght_ref</t>
  </si>
  <si>
    <t>ref_vs_qry</t>
  </si>
  <si>
    <t>qry_vs_ref</t>
  </si>
  <si>
    <t>Score</t>
  </si>
  <si>
    <t>sum_genes</t>
  </si>
  <si>
    <t>ARC</t>
  </si>
  <si>
    <t>Getorganell</t>
  </si>
  <si>
    <t>MEANGS</t>
  </si>
  <si>
    <t>MITGARD</t>
  </si>
  <si>
    <t>Mitobim</t>
  </si>
  <si>
    <t>Mitofinder</t>
  </si>
  <si>
    <t>Mitoz</t>
  </si>
  <si>
    <t>mtgrasp</t>
  </si>
  <si>
    <t>Norgal</t>
  </si>
  <si>
    <t>NOVOplasty</t>
  </si>
</sst>
</file>

<file path=xl/styles.xml><?xml version="1.0" encoding="utf-8"?>
<styleSheet xmlns="http://schemas.openxmlformats.org/spreadsheetml/2006/main">
  <numFmts count="8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3">
    <font>
      <name val="宋体"/>
      <color rgb="FF000000"/>
      <sz val="11"/>
      <extLst>
        <ext uri="smNativeData">
          <pm:charSpec xmlns:pm="smNativeData" id="1790913974" ulstyle="none" kern="1">
            <pm:latin face="宋体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90913974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Calibri"/>
      <family val="2"/>
      <color rgb="FF000000"/>
      <sz val="11"/>
      <extLst>
        <ext uri="smNativeData">
          <pm:charSpec xmlns:pm="smNativeData" id="1790913974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90913974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091397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0913974"/>
        </ext>
      </extLst>
    </border>
  </borders>
  <cellStyleXfs count="1">
    <xf numFmtId="0" fontId="0" fillId="0" borderId="0" applyNumberFormat="1" applyFont="1" applyFill="1" applyBorder="1" applyAlignment="1" applyProtection="1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 customBuiltin="1"/>
  </cellStyles>
  <tableStyles count="0"/>
  <extLst>
    <ext uri="smNativeData">
      <pm:charStyles xmlns:pm="smNativeData" id="1790913974" count="1">
        <pm:charStyle name="Обычный" fontId="0" Id="1"/>
      </pm:charStyles>
      <pm:colors xmlns:pm="smNativeData" id="1790913974" count="1">
        <pm:color name="Цвет 24" rgb="FFFF9E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宋体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view="normal" workbookViewId="0">
      <selection activeCell="O10" sqref="O10"/>
    </sheetView>
  </sheetViews>
  <sheetFormatPr defaultRowHeight="13.60"/>
  <cols>
    <col min="2" max="2" width="11.381818" customWidth="1"/>
    <col min="5" max="5" width="12.372727" customWidth="1"/>
    <col min="6" max="6" width="14.118182" customWidth="1"/>
    <col min="7" max="8" width="9.481818" customWidth="1"/>
    <col min="9" max="9" width="34.590909" customWidth="1"/>
    <col min="10" max="10" width="10.318182" customWidth="1"/>
  </cols>
  <sheetData>
    <row r="1" spans="1:10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n">
        <v>166.527999999999992</v>
      </c>
      <c r="B2" t="s">
        <v>10</v>
      </c>
      <c r="C2" t="n">
        <v>18470</v>
      </c>
      <c r="D2" t="n">
        <v>30</v>
      </c>
      <c r="E2">
        <f>MIN(G2/H2,H2/G2)</f>
        <v>0.865782349756362102</v>
      </c>
      <c r="F2" t="n">
        <v>15991</v>
      </c>
      <c r="G2" t="n">
        <v>0.99737352260646599</v>
      </c>
      <c r="H2" t="n">
        <v>0.863508391987006085</v>
      </c>
      <c r="I2">
        <f>0.25*(H2+G2+E2+1/D2)</f>
        <v>0.689999399420790027</v>
      </c>
      <c r="J2" t="n">
        <v>15</v>
      </c>
    </row>
    <row r="3" spans="1:10">
      <c r="A3" t="n">
        <v>27.0147000000000013</v>
      </c>
      <c r="B3" t="s">
        <v>10</v>
      </c>
      <c r="C3" t="n">
        <v>16021</v>
      </c>
      <c r="D3" t="n">
        <v>2</v>
      </c>
      <c r="E3">
        <f>MIN(G3/H3,H3/G3)</f>
        <v>0.998127457711752974</v>
      </c>
      <c r="F3" t="n">
        <v>15991</v>
      </c>
      <c r="G3" t="n">
        <v>0.999374648239635022</v>
      </c>
      <c r="H3" t="n">
        <v>0.997503276949004025</v>
      </c>
      <c r="I3">
        <f>0.25*(H3+G3+E3+1/D3)</f>
        <v>0.873751345725098005</v>
      </c>
      <c r="J3" t="n">
        <v>15</v>
      </c>
    </row>
    <row r="4" spans="1:10">
      <c r="A4" t="n">
        <v>16.9120999999999952</v>
      </c>
      <c r="B4" t="s">
        <v>10</v>
      </c>
      <c r="C4" t="n">
        <v>15994</v>
      </c>
      <c r="D4" t="n">
        <v>2</v>
      </c>
      <c r="E4">
        <f>MIN(G4/H4,H4/G4)</f>
        <v>0.999812429661123048</v>
      </c>
      <c r="F4" t="n">
        <v>15991</v>
      </c>
      <c r="G4" t="n">
        <v>0.997811268838722043</v>
      </c>
      <c r="H4" t="n">
        <v>0.997624109040889806</v>
      </c>
      <c r="I4">
        <f>0.25*(H4+G4+E4+1/D4)</f>
        <v>0.873811951885181948</v>
      </c>
      <c r="J4" t="n">
        <v>15</v>
      </c>
    </row>
    <row r="5" spans="1:10">
      <c r="A5" t="n">
        <v>1.87000000000000011</v>
      </c>
      <c r="B5" t="s">
        <v>10</v>
      </c>
      <c r="C5" t="n">
        <v>0</v>
      </c>
      <c r="D5" t="n">
        <v>0</v>
      </c>
      <c r="E5" t="n">
        <v>0</v>
      </c>
      <c r="F5" t="n">
        <v>15991</v>
      </c>
      <c r="G5" t="n">
        <v>0</v>
      </c>
      <c r="H5" t="n">
        <v>0</v>
      </c>
      <c r="I5" t="n">
        <v>0</v>
      </c>
      <c r="J5" t="n">
        <v>0</v>
      </c>
    </row>
    <row r="6" spans="1:10">
      <c r="A6" t="n">
        <v>166.527999999999992</v>
      </c>
      <c r="B6" t="s">
        <v>11</v>
      </c>
      <c r="C6" t="n">
        <v>16034</v>
      </c>
      <c r="D6" t="n">
        <v>2</v>
      </c>
      <c r="E6">
        <f>MIN(G6/H6,H6/G6)</f>
        <v>0.99974930927028911</v>
      </c>
      <c r="F6" t="n">
        <v>15991</v>
      </c>
      <c r="G6" t="n">
        <v>0.999562253767743947</v>
      </c>
      <c r="H6" t="n">
        <v>0.999812897592616068</v>
      </c>
      <c r="I6">
        <f>0.25*(H6+G6+E6+1/D6)</f>
        <v>0.874781115157663081</v>
      </c>
      <c r="J6" t="n">
        <v>15</v>
      </c>
    </row>
    <row r="7" spans="1:10">
      <c r="A7" t="n">
        <v>27.0147000000000013</v>
      </c>
      <c r="B7" t="s">
        <v>11</v>
      </c>
      <c r="C7" t="n">
        <v>15791</v>
      </c>
      <c r="D7" t="n">
        <v>2</v>
      </c>
      <c r="E7">
        <f>MIN(G7/H7,H7/G7)</f>
        <v>0.987492964792695993</v>
      </c>
      <c r="F7" t="n">
        <v>15991</v>
      </c>
      <c r="G7" t="n">
        <v>0.984803952223126089</v>
      </c>
      <c r="H7" t="n">
        <v>0.99727692989677692</v>
      </c>
      <c r="I7">
        <f>0.25*(H7+G7+E7+1/D7)</f>
        <v>0.867393461728149973</v>
      </c>
      <c r="J7" t="n">
        <v>15</v>
      </c>
    </row>
    <row r="8" spans="1:10">
      <c r="A8" t="n">
        <v>16.9120999999999952</v>
      </c>
      <c r="B8" t="s">
        <v>11</v>
      </c>
      <c r="C8" t="n">
        <v>16018</v>
      </c>
      <c r="D8" t="n">
        <v>2</v>
      </c>
      <c r="E8">
        <f>MIN(G8/H8,H8/G8)</f>
        <v>0.998314396304157903</v>
      </c>
      <c r="F8" t="n">
        <v>15991</v>
      </c>
      <c r="G8" t="n">
        <v>0.998999437183416106</v>
      </c>
      <c r="H8" t="n">
        <v>0.997315520039954961</v>
      </c>
      <c r="I8">
        <f>0.25*(H8+G8+E8+1/D8)</f>
        <v>0.873657338381882909</v>
      </c>
      <c r="J8" t="n">
        <v>15</v>
      </c>
    </row>
    <row r="9" spans="1:10">
      <c r="A9" t="n">
        <v>1.87000000000000011</v>
      </c>
      <c r="B9" t="s">
        <v>11</v>
      </c>
      <c r="C9" t="n">
        <v>0</v>
      </c>
      <c r="D9" t="n">
        <v>0</v>
      </c>
      <c r="E9" t="n">
        <v>0</v>
      </c>
      <c r="F9" t="n">
        <v>15991</v>
      </c>
      <c r="G9" t="n">
        <v>0</v>
      </c>
      <c r="H9" t="n">
        <v>0</v>
      </c>
      <c r="I9" t="n">
        <v>0</v>
      </c>
      <c r="J9" t="n">
        <v>0</v>
      </c>
    </row>
    <row r="10" spans="1:10">
      <c r="A10" t="n">
        <v>166.527999999999992</v>
      </c>
      <c r="B10" t="s">
        <v>12</v>
      </c>
      <c r="C10" t="n">
        <v>20977</v>
      </c>
      <c r="D10" t="n">
        <v>27</v>
      </c>
      <c r="E10">
        <f>MIN(G10/H10,H10/G10)</f>
        <v>0.779536822688129938</v>
      </c>
      <c r="F10" t="n">
        <v>15991</v>
      </c>
      <c r="G10" t="n">
        <v>0.816396723156776005</v>
      </c>
      <c r="H10" t="n">
        <v>0.636411307622633959</v>
      </c>
      <c r="I10">
        <f>0.25*(H10+G10+E10+1/D10)</f>
        <v>0.567345472626144964</v>
      </c>
      <c r="J10" t="n">
        <v>14</v>
      </c>
    </row>
    <row r="11" spans="1:10">
      <c r="A11" t="n">
        <v>27.0147000000000013</v>
      </c>
      <c r="B11" t="s">
        <v>12</v>
      </c>
      <c r="C11" t="n">
        <v>11382</v>
      </c>
      <c r="D11" t="n">
        <v>14</v>
      </c>
      <c r="E11">
        <f>MIN(G11/H11,H11/G11)</f>
        <v>0.711775373647676979</v>
      </c>
      <c r="F11" t="n">
        <v>15991</v>
      </c>
      <c r="G11" t="n">
        <v>0.652054280532800146</v>
      </c>
      <c r="H11" t="n">
        <v>0.916095589527323995</v>
      </c>
      <c r="I11">
        <f>0.25*(H11+G11+E11+1/D11)</f>
        <v>0.587838453784093051</v>
      </c>
      <c r="J11" t="n">
        <v>10</v>
      </c>
    </row>
    <row r="12" spans="1:10">
      <c r="A12" t="n">
        <v>16.9120999999999952</v>
      </c>
      <c r="B12" t="s">
        <v>12</v>
      </c>
      <c r="C12" t="n">
        <v>9943</v>
      </c>
      <c r="D12" t="n">
        <v>17</v>
      </c>
      <c r="E12">
        <f>MIN(G12/H12,H12/G12)</f>
        <v>0.616417058198604018</v>
      </c>
      <c r="F12" t="n">
        <v>15991</v>
      </c>
      <c r="G12" t="n">
        <v>0.567068976299167993</v>
      </c>
      <c r="H12" t="n">
        <v>0.91994367897013003</v>
      </c>
      <c r="I12">
        <f>0.25*(H12+G12+E12+1/D12)</f>
        <v>0.540563310719918011</v>
      </c>
      <c r="J12" t="n">
        <v>5</v>
      </c>
    </row>
    <row r="13" spans="1:10">
      <c r="A13" t="n">
        <v>1.87000000000000011</v>
      </c>
      <c r="B13" t="s">
        <v>12</v>
      </c>
      <c r="C13" t="n">
        <v>0</v>
      </c>
      <c r="D13" t="n">
        <v>0</v>
      </c>
      <c r="E13" t="n">
        <v>0</v>
      </c>
      <c r="F13" t="n">
        <v>15991</v>
      </c>
      <c r="G13" t="n">
        <v>0</v>
      </c>
      <c r="H13" t="n">
        <v>0</v>
      </c>
      <c r="I13" t="n">
        <v>0</v>
      </c>
      <c r="J13" t="n">
        <v>0</v>
      </c>
    </row>
    <row r="14" spans="1:10">
      <c r="A14" t="n">
        <v>166.527999999999992</v>
      </c>
      <c r="B14" t="s">
        <v>13</v>
      </c>
      <c r="C14" t="n">
        <v>157463</v>
      </c>
      <c r="D14" t="n">
        <v>17</v>
      </c>
      <c r="E14">
        <f>MIN(G14/H14,H14/G14)</f>
        <v>0.461504041812591037</v>
      </c>
      <c r="F14" t="n">
        <v>15991</v>
      </c>
      <c r="G14" t="n">
        <v>0.999562253767743947</v>
      </c>
      <c r="H14" t="n">
        <v>0.461302020157116033</v>
      </c>
      <c r="I14">
        <f>0.25*(H14+G14+E14+1/D14)</f>
        <v>0.495297961287305011</v>
      </c>
      <c r="J14" t="n">
        <v>0</v>
      </c>
    </row>
    <row r="15" spans="1:10">
      <c r="A15" t="n">
        <v>27.0147000000000013</v>
      </c>
      <c r="B15" t="s">
        <v>13</v>
      </c>
      <c r="C15" t="n">
        <v>139494</v>
      </c>
      <c r="D15" t="n">
        <v>21</v>
      </c>
      <c r="E15">
        <f>MIN(G15/H15,H15/G15)</f>
        <v>0.523650562483035031</v>
      </c>
      <c r="F15" t="n">
        <v>15991</v>
      </c>
      <c r="G15" t="n">
        <v>0.999437183415670738</v>
      </c>
      <c r="H15" t="n">
        <v>0.523355843262075915</v>
      </c>
      <c r="I15">
        <f>0.25*(H15+G15+E15+1/D15)</f>
        <v>0.523515659194960037</v>
      </c>
      <c r="J15" t="n">
        <v>0</v>
      </c>
    </row>
    <row r="16" spans="1:10">
      <c r="A16" t="n">
        <v>16.9120999999999952</v>
      </c>
      <c r="B16" t="s">
        <v>13</v>
      </c>
      <c r="C16" t="n">
        <v>155956</v>
      </c>
      <c r="D16" t="n">
        <v>25</v>
      </c>
      <c r="E16">
        <f>MIN(G16/H16,H16/G16)</f>
        <v>0.472229878937003988</v>
      </c>
      <c r="F16" t="n">
        <v>15991</v>
      </c>
      <c r="G16" t="n">
        <v>0.999061972359452</v>
      </c>
      <c r="H16" t="n">
        <v>0.471786914257867984</v>
      </c>
      <c r="I16">
        <f>0.25*(H16+G16+E16+1/D16)</f>
        <v>0.495769691388580025</v>
      </c>
      <c r="J16" t="n">
        <v>0</v>
      </c>
    </row>
    <row r="17" spans="1:10">
      <c r="A17" t="n">
        <v>1.87000000000000011</v>
      </c>
      <c r="B17" t="s">
        <v>13</v>
      </c>
      <c r="C17" t="n">
        <v>73174</v>
      </c>
      <c r="D17" t="n">
        <v>254</v>
      </c>
      <c r="E17">
        <f>MIN(G17/H17,H17/G17)</f>
        <v>0.346758518284754036</v>
      </c>
      <c r="F17" t="n">
        <v>15991</v>
      </c>
      <c r="G17" t="n">
        <v>0.393596397973859968</v>
      </c>
      <c r="H17" t="n">
        <v>0.136482903763632013</v>
      </c>
      <c r="I17">
        <f>0.25*(H17+G17+E17+1/D17)</f>
        <v>0.220193706974065995</v>
      </c>
      <c r="J17" t="n">
        <v>0</v>
      </c>
    </row>
    <row r="18" spans="1:10">
      <c r="A18" t="n">
        <v>166.527999999999992</v>
      </c>
      <c r="B18" t="s">
        <v>14</v>
      </c>
      <c r="C18" t="n">
        <v>16107</v>
      </c>
      <c r="D18" t="n">
        <v>1</v>
      </c>
      <c r="E18">
        <f>MIN(G18/H18,H18/G18)</f>
        <v>0.99279816228968798</v>
      </c>
      <c r="F18" t="n">
        <v>15991</v>
      </c>
      <c r="G18" t="n">
        <v>1</v>
      </c>
      <c r="H18" t="n">
        <v>0.99279816228968798</v>
      </c>
      <c r="I18">
        <f>0.25*(H18+G18+E18+1/D18)</f>
        <v>0.996399081144845056</v>
      </c>
      <c r="J18" t="n">
        <v>15</v>
      </c>
    </row>
    <row r="19" spans="1:10">
      <c r="A19" t="n">
        <v>27.0147000000000013</v>
      </c>
      <c r="B19" t="s">
        <v>14</v>
      </c>
      <c r="C19" t="n">
        <v>16096</v>
      </c>
      <c r="D19" t="n">
        <v>1</v>
      </c>
      <c r="E19">
        <f>MIN(G19/H19,H19/G19)</f>
        <v>0.993476640159046021</v>
      </c>
      <c r="F19" t="n">
        <v>15991</v>
      </c>
      <c r="G19" t="n">
        <v>1</v>
      </c>
      <c r="H19" t="n">
        <v>0.993476640159046198</v>
      </c>
      <c r="I19">
        <f>0.25*(H19+G19+E19+1/D19)</f>
        <v>0.996738320079525053</v>
      </c>
      <c r="J19" t="n">
        <v>15</v>
      </c>
    </row>
    <row r="20" spans="1:10">
      <c r="A20" t="n">
        <v>16.9120999999999952</v>
      </c>
      <c r="B20" t="s">
        <v>14</v>
      </c>
      <c r="C20" t="n">
        <v>16095</v>
      </c>
      <c r="D20" t="n">
        <v>1</v>
      </c>
      <c r="E20">
        <f>MIN(G20/H20,H20/G20)</f>
        <v>0.993538365952159097</v>
      </c>
      <c r="F20" t="n">
        <v>15991</v>
      </c>
      <c r="G20" t="n">
        <v>1</v>
      </c>
      <c r="H20" t="n">
        <v>0.993538365952159275</v>
      </c>
      <c r="I20">
        <f>0.25*(H20+G20+E20+1/D20)</f>
        <v>0.996769182976079904</v>
      </c>
      <c r="J20" t="n">
        <v>15</v>
      </c>
    </row>
    <row r="21" spans="1:10">
      <c r="A21" t="n">
        <v>1.87000000000000011</v>
      </c>
      <c r="B21" t="s">
        <v>14</v>
      </c>
      <c r="C21" t="n">
        <v>16038</v>
      </c>
      <c r="D21" t="n">
        <v>1</v>
      </c>
      <c r="E21">
        <f>MIN(G21/H21,H21/G21)</f>
        <v>0.999937468734366952</v>
      </c>
      <c r="F21" t="n">
        <v>15991</v>
      </c>
      <c r="G21" t="n">
        <v>1</v>
      </c>
      <c r="H21" t="n">
        <v>0.999937468734366952</v>
      </c>
      <c r="I21">
        <f>0.25*(H21+G21+E21+1/D21)</f>
        <v>0.999968734367184986</v>
      </c>
      <c r="J21" t="n">
        <v>15</v>
      </c>
    </row>
    <row r="22" spans="1:10">
      <c r="A22" t="n">
        <v>166.527999999999992</v>
      </c>
      <c r="B22" t="s">
        <v>15</v>
      </c>
      <c r="C22" t="n">
        <v>16134</v>
      </c>
      <c r="D22" t="n">
        <v>1</v>
      </c>
      <c r="E22">
        <f>MIN(G22/H22,H22/G22)</f>
        <v>0.991136729887194967</v>
      </c>
      <c r="F22" t="n">
        <v>15991</v>
      </c>
      <c r="G22" t="n">
        <v>1</v>
      </c>
      <c r="H22" t="n">
        <v>0.991136729887194967</v>
      </c>
      <c r="I22">
        <f>0.25*(H22+G22+E22+1/D22)</f>
        <v>0.995568364943600059</v>
      </c>
      <c r="J22" t="n">
        <v>15</v>
      </c>
    </row>
    <row r="23" spans="1:10">
      <c r="A23" t="n">
        <v>27.0147000000000013</v>
      </c>
      <c r="B23" t="s">
        <v>15</v>
      </c>
      <c r="C23" t="n">
        <v>15855</v>
      </c>
      <c r="D23" t="n">
        <v>2</v>
      </c>
      <c r="E23">
        <f>MIN(G23/H23,H23/G23)</f>
        <v>0.991495216059032991</v>
      </c>
      <c r="F23" t="n">
        <v>15991</v>
      </c>
      <c r="G23" t="n">
        <v>0.986117190919891939</v>
      </c>
      <c r="H23" t="n">
        <v>0.994575843582465779</v>
      </c>
      <c r="I23">
        <f>0.25*(H23+G23+E23+1/D23)</f>
        <v>0.868047062640347988</v>
      </c>
      <c r="J23" t="n">
        <v>15</v>
      </c>
    </row>
    <row r="24" spans="1:10">
      <c r="A24" t="n">
        <v>16.9120999999999952</v>
      </c>
      <c r="B24" t="s">
        <v>15</v>
      </c>
      <c r="C24" t="n">
        <v>15843</v>
      </c>
      <c r="D24" t="n">
        <v>2</v>
      </c>
      <c r="E24">
        <f>MIN(G24/H24,H24/G24)</f>
        <v>0.990744793946594982</v>
      </c>
      <c r="F24" t="n">
        <v>15991</v>
      </c>
      <c r="G24" t="n">
        <v>0.985992120567819263</v>
      </c>
      <c r="H24" t="n">
        <v>0.995202928738244097</v>
      </c>
      <c r="I24">
        <f>0.25*(H24+G24+E24+1/D24)</f>
        <v>0.867984960813165074</v>
      </c>
      <c r="J24" t="n">
        <v>15</v>
      </c>
    </row>
    <row r="25" spans="1:10">
      <c r="A25" t="n">
        <v>1.87000000000000011</v>
      </c>
      <c r="B25" t="s">
        <v>15</v>
      </c>
      <c r="C25" t="n">
        <v>0</v>
      </c>
      <c r="D25" t="n">
        <v>0</v>
      </c>
      <c r="E25" t="n">
        <v>0</v>
      </c>
      <c r="F25" t="n">
        <v>15991</v>
      </c>
      <c r="G25" t="n">
        <v>0</v>
      </c>
      <c r="H25" t="n">
        <v>0</v>
      </c>
      <c r="I25" t="n">
        <v>0</v>
      </c>
      <c r="J25" t="n">
        <v>0</v>
      </c>
    </row>
    <row r="26" spans="1:10">
      <c r="A26" t="n">
        <v>166.527999999999992</v>
      </c>
      <c r="B26" t="s">
        <v>16</v>
      </c>
      <c r="C26" t="n">
        <v>11360</v>
      </c>
      <c r="D26" t="n">
        <v>1</v>
      </c>
      <c r="E26">
        <f>MIN(G26/H26,H26/G26)</f>
        <v>0.710399599774873991</v>
      </c>
      <c r="F26" t="n">
        <v>15991</v>
      </c>
      <c r="G26" t="n">
        <v>0.709273966606216</v>
      </c>
      <c r="H26" t="n">
        <v>0.998415492957745876</v>
      </c>
      <c r="I26">
        <f>0.25*(H26+G26+E26+1/D26)</f>
        <v>0.85452226483470799</v>
      </c>
      <c r="J26" t="n">
        <v>12</v>
      </c>
    </row>
    <row r="27" spans="1:10">
      <c r="A27" t="n">
        <v>27.0147000000000013</v>
      </c>
      <c r="B27" t="s">
        <v>16</v>
      </c>
      <c r="C27" t="n">
        <v>11308</v>
      </c>
      <c r="D27" t="n">
        <v>1</v>
      </c>
      <c r="E27">
        <f>MIN(G27/H27,H27/G27)</f>
        <v>0.707147770620974025</v>
      </c>
      <c r="F27" t="n">
        <v>15991</v>
      </c>
      <c r="G27" t="n">
        <v>0.707085235444937954</v>
      </c>
      <c r="H27" t="n">
        <v>0.999911567032190085</v>
      </c>
      <c r="I27">
        <f>0.25*(H27+G27+E27+1/D27)</f>
        <v>0.853536143274524939</v>
      </c>
      <c r="J27" t="n">
        <v>12</v>
      </c>
    </row>
    <row r="28" spans="1:10">
      <c r="A28" t="n">
        <v>16.9120999999999952</v>
      </c>
      <c r="B28" t="s">
        <v>16</v>
      </c>
      <c r="C28" t="n">
        <v>0</v>
      </c>
      <c r="D28" t="n">
        <v>0</v>
      </c>
      <c r="E28" t="n">
        <v>0</v>
      </c>
      <c r="F28" t="n">
        <v>15991</v>
      </c>
      <c r="G28" t="n">
        <v>0</v>
      </c>
      <c r="H28" t="n">
        <v>0</v>
      </c>
      <c r="I28" t="n">
        <v>0</v>
      </c>
      <c r="J28" t="n">
        <v>0</v>
      </c>
    </row>
    <row r="29" spans="1:10">
      <c r="A29" t="n">
        <v>1.87000000000000011</v>
      </c>
      <c r="B29" t="s">
        <v>16</v>
      </c>
      <c r="C29" t="n">
        <v>0</v>
      </c>
      <c r="D29" t="n">
        <v>0</v>
      </c>
      <c r="E29" t="n">
        <v>0</v>
      </c>
      <c r="F29" t="n">
        <v>15991</v>
      </c>
      <c r="G29" t="n">
        <v>0</v>
      </c>
      <c r="H29" t="n">
        <v>0</v>
      </c>
      <c r="I29" t="n">
        <v>0</v>
      </c>
      <c r="J29" t="n">
        <v>0</v>
      </c>
    </row>
    <row r="30" spans="1:10">
      <c r="A30" t="n">
        <v>166.527999999999992</v>
      </c>
      <c r="B30" t="s">
        <v>17</v>
      </c>
      <c r="C30" t="n">
        <v>2291</v>
      </c>
      <c r="D30" t="n">
        <v>1</v>
      </c>
      <c r="E30">
        <f>MIN(G30/H30,H30/G30)</f>
        <v>0.143393158651741981</v>
      </c>
      <c r="F30" t="n">
        <v>15991</v>
      </c>
      <c r="G30" t="n">
        <v>0.143393158651741981</v>
      </c>
      <c r="H30" t="n">
        <v>1</v>
      </c>
      <c r="I30">
        <f>0.25*(H30+G30+E30+1/D30)</f>
        <v>0.571696579325870058</v>
      </c>
      <c r="J30" t="n">
        <v>2</v>
      </c>
    </row>
    <row r="31" spans="1:10">
      <c r="A31" t="n">
        <v>27.0147000000000013</v>
      </c>
      <c r="B31" t="s">
        <v>17</v>
      </c>
      <c r="C31" t="n">
        <v>0</v>
      </c>
      <c r="D31" t="n">
        <v>0</v>
      </c>
      <c r="E31" t="n">
        <v>0</v>
      </c>
      <c r="F31" t="n">
        <v>15991</v>
      </c>
      <c r="G31" t="n">
        <v>0</v>
      </c>
      <c r="H31" t="n">
        <v>0</v>
      </c>
      <c r="I31" t="n">
        <v>0</v>
      </c>
      <c r="J31" t="n">
        <v>0</v>
      </c>
    </row>
    <row r="32" spans="1:10">
      <c r="A32" t="n">
        <v>16.9120999999999952</v>
      </c>
      <c r="B32" t="s">
        <v>17</v>
      </c>
      <c r="C32" t="n">
        <v>0</v>
      </c>
      <c r="D32" t="n">
        <v>0</v>
      </c>
      <c r="E32" t="n">
        <v>0</v>
      </c>
      <c r="F32" t="n">
        <v>15991</v>
      </c>
      <c r="G32" t="n">
        <v>0</v>
      </c>
      <c r="H32" t="n">
        <v>0</v>
      </c>
      <c r="I32" t="n">
        <v>0</v>
      </c>
      <c r="J32" t="n">
        <v>0</v>
      </c>
    </row>
    <row r="33" spans="1:10">
      <c r="A33" t="n">
        <v>1.87000000000000011</v>
      </c>
      <c r="B33" t="s">
        <v>17</v>
      </c>
      <c r="C33" t="n">
        <v>0</v>
      </c>
      <c r="D33" t="n">
        <v>0</v>
      </c>
      <c r="E33" t="n">
        <v>0</v>
      </c>
      <c r="F33" t="n">
        <v>15991</v>
      </c>
      <c r="G33" t="n">
        <v>0</v>
      </c>
      <c r="H33" t="n">
        <v>0</v>
      </c>
      <c r="I33" t="n">
        <v>0</v>
      </c>
      <c r="J33" t="n">
        <v>0</v>
      </c>
    </row>
    <row r="34" spans="1:10">
      <c r="A34" t="n">
        <v>166.527999999999992</v>
      </c>
      <c r="B34" t="s">
        <v>18</v>
      </c>
      <c r="C34" t="n">
        <v>30197</v>
      </c>
      <c r="D34" t="n">
        <v>1</v>
      </c>
      <c r="E34">
        <f>MIN(G34/H34,H34/G34)</f>
        <v>0.529555916150611061</v>
      </c>
      <c r="F34" t="n">
        <v>15991</v>
      </c>
      <c r="G34" t="n">
        <v>0.999937464823964106</v>
      </c>
      <c r="H34" t="n">
        <v>0.529522800278172845</v>
      </c>
      <c r="I34">
        <f>0.25*(H34+G34+E34+1/D34)</f>
        <v>0.76475404531318798</v>
      </c>
      <c r="J34" t="n">
        <v>0</v>
      </c>
    </row>
    <row r="35" spans="1:10">
      <c r="A35" t="n">
        <v>27.0147000000000013</v>
      </c>
      <c r="B35" t="s">
        <v>18</v>
      </c>
      <c r="C35" t="n">
        <v>23014</v>
      </c>
      <c r="D35" t="n">
        <v>1</v>
      </c>
      <c r="E35">
        <f>MIN(G35/H35,H35/G35)</f>
        <v>0.69483792474146302</v>
      </c>
      <c r="F35" t="n">
        <v>15991</v>
      </c>
      <c r="G35" t="n">
        <v>0.71002438871865392</v>
      </c>
      <c r="H35" t="n">
        <v>0.493351872773095046</v>
      </c>
      <c r="I35">
        <f>0.25*(H35+G35+E35+1/D35)</f>
        <v>0.72455354655830293</v>
      </c>
      <c r="J35" t="n">
        <v>12</v>
      </c>
    </row>
    <row r="36" spans="1:10">
      <c r="A36" t="n">
        <v>16.9120999999999952</v>
      </c>
      <c r="B36" t="s">
        <v>18</v>
      </c>
      <c r="C36" t="n">
        <v>22961</v>
      </c>
      <c r="D36" t="n">
        <v>1</v>
      </c>
      <c r="E36">
        <f>MIN(G36/H36,H36/G36)</f>
        <v>0.696441792604852949</v>
      </c>
      <c r="F36" t="n">
        <v>15991</v>
      </c>
      <c r="G36" t="n">
        <v>0.71002438871865392</v>
      </c>
      <c r="H36" t="n">
        <v>0.494490658072384015</v>
      </c>
      <c r="I36">
        <f>0.25*(H36+G36+E36+1/D36)</f>
        <v>0.725239209848973054</v>
      </c>
      <c r="J36" t="n">
        <v>12</v>
      </c>
    </row>
    <row r="37" spans="1:10">
      <c r="A37" t="n">
        <v>1.87000000000000011</v>
      </c>
      <c r="B37" t="s">
        <v>18</v>
      </c>
      <c r="C37" t="n">
        <v>20047</v>
      </c>
      <c r="D37" t="n">
        <v>1</v>
      </c>
      <c r="E37" t="n">
        <v>0</v>
      </c>
      <c r="F37" t="n">
        <v>15991</v>
      </c>
      <c r="G37" t="n">
        <v>0</v>
      </c>
      <c r="H37" t="n">
        <v>0</v>
      </c>
      <c r="I37" t="n">
        <v>0</v>
      </c>
      <c r="J37" t="n">
        <v>0</v>
      </c>
    </row>
    <row r="38" spans="1:10">
      <c r="A38" t="n">
        <v>166.527999999999992</v>
      </c>
      <c r="B38" t="s">
        <v>19</v>
      </c>
      <c r="C38" t="n">
        <v>20488</v>
      </c>
      <c r="D38" t="n">
        <v>2</v>
      </c>
      <c r="E38">
        <f>MIN(G38/H38,H38/G38)</f>
        <v>0.997913032865601934</v>
      </c>
      <c r="F38" t="n">
        <v>15991</v>
      </c>
      <c r="G38" t="n">
        <v>0.998374085423050772</v>
      </c>
      <c r="H38" t="n">
        <v>0.996290511518937905</v>
      </c>
      <c r="I38">
        <f>0.25*(H38+G38+E38+1/D38)</f>
        <v>0.873144407451898097</v>
      </c>
      <c r="J38" t="n">
        <v>0</v>
      </c>
    </row>
    <row r="39" spans="1:10">
      <c r="A39" t="n">
        <v>27.0147000000000013</v>
      </c>
      <c r="B39" t="s">
        <v>19</v>
      </c>
      <c r="C39" t="n">
        <v>4191</v>
      </c>
      <c r="D39" t="n">
        <v>1</v>
      </c>
      <c r="E39">
        <f>MIN(G39/H39,H39/G39)</f>
        <v>0.262084922769057993</v>
      </c>
      <c r="F39" t="n">
        <v>15991</v>
      </c>
      <c r="G39" t="n">
        <v>0.25958351572759697</v>
      </c>
      <c r="H39" t="n">
        <v>0.99045573848723496</v>
      </c>
      <c r="I39">
        <f>0.25*(H39+G39+E39+1/D39)</f>
        <v>0.628031044245973025</v>
      </c>
      <c r="J39" t="n">
        <v>3</v>
      </c>
    </row>
    <row r="40" spans="1:10">
      <c r="A40" t="n">
        <v>16.9120999999999952</v>
      </c>
      <c r="B40" t="s">
        <v>19</v>
      </c>
      <c r="C40" t="n">
        <v>0</v>
      </c>
      <c r="D40" t="n">
        <v>1</v>
      </c>
      <c r="E40" t="n">
        <v>0</v>
      </c>
      <c r="F40" t="n">
        <v>15991</v>
      </c>
      <c r="G40" t="n">
        <v>0</v>
      </c>
      <c r="H40" t="n">
        <v>0</v>
      </c>
      <c r="I40" t="n">
        <v>0</v>
      </c>
      <c r="J40" t="n">
        <v>0</v>
      </c>
    </row>
    <row r="41" spans="1:10">
      <c r="A41" t="n">
        <v>1.87000000000000011</v>
      </c>
      <c r="B41" t="s">
        <v>19</v>
      </c>
      <c r="C41" t="n">
        <v>0</v>
      </c>
      <c r="D41" t="n">
        <v>1</v>
      </c>
      <c r="E41" t="n">
        <v>0</v>
      </c>
      <c r="F41" t="n">
        <v>15991</v>
      </c>
      <c r="G41" t="n">
        <v>0</v>
      </c>
      <c r="H41" t="n">
        <v>0</v>
      </c>
      <c r="I41" t="n">
        <v>0</v>
      </c>
      <c r="J41" t="n">
        <v>0</v>
      </c>
    </row>
  </sheetData>
  <printOptions>
    <extLst>
      <ext uri="smNativeData">
        <pm:pageFlags xmlns:pm="smNativeData" id="1790913974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90913974" l="56" r="56" t="56" b="56" borderId="0" fillId="0" vertical="0"/>
        <pm:footer xmlns:pm="smNativeData" id="1790913974" l="56" r="56" t="56" b="56" borderId="0" fillId="0" vertical="2"/>
      </ext>
    </extLst>
  </headerFooter>
  <extLst>
    <ext uri="smNativeData">
      <pm:sheetPrefs xmlns:pm="smNativeData" day="179091397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 activeCell="A1" sqref="A1"/>
    </sheetView>
  </sheetViews>
  <sheetFormatPr defaultRowHeight="13.60"/>
  <sheetData/>
  <printOptions>
    <extLst>
      <ext uri="smNativeData">
        <pm:pageFlags xmlns:pm="smNativeData" id="1790913974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90913974" l="56" r="56" t="56" b="56" borderId="0" fillId="0" vertical="0"/>
        <pm:footer xmlns:pm="smNativeData" id="1790913974" l="56" r="56" t="56" b="56" borderId="0" fillId="0" vertical="2"/>
      </ext>
    </extLst>
  </headerFooter>
  <extLst>
    <ext uri="smNativeData">
      <pm:sheetPrefs xmlns:pm="smNativeData" day="179091397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 activeCell="A1" sqref="A1"/>
    </sheetView>
  </sheetViews>
  <sheetFormatPr defaultRowHeight="13.60"/>
  <sheetData/>
  <printOptions>
    <extLst>
      <ext uri="smNativeData">
        <pm:pageFlags xmlns:pm="smNativeData" id="1790913974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90913974" l="56" r="56" t="56" b="56" borderId="0" fillId="0" vertical="0"/>
        <pm:footer xmlns:pm="smNativeData" id="1790913974" l="56" r="56" t="56" b="56" borderId="0" fillId="0" vertical="2"/>
      </ext>
    </extLst>
  </headerFooter>
  <extLst>
    <ext uri="smNativeData">
      <pm:sheetPrefs xmlns:pm="smNativeData" day="179091397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wps</dc:creator>
  <cp:keywords/>
  <dc:description/>
  <cp:lastModifiedBy>andrei</cp:lastModifiedBy>
  <cp:revision>0</cp:revision>
  <dcterms:created xsi:type="dcterms:W3CDTF">2018-05-25T11:28:45Z</dcterms:created>
  <dcterms:modified xsi:type="dcterms:W3CDTF">2026-10-02T04:06:14Z</dcterms:modified>
</cp:coreProperties>
</file>