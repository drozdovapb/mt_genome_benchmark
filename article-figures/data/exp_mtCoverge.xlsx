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ndrei"/>
  <workbookPr/>
  <bookViews>
    <workbookView activeTab="2" xWindow="240" yWindow="60" windowWidth="16155" windowHeight="8505" tabRatio="500"/>
  </bookViews>
  <sheets>
    <sheet name="Sheet1" sheetId="1" r:id="rId4"/>
    <sheet name="Sheet2" sheetId="2" r:id="rId5"/>
    <sheet name="Sheet3" sheetId="3" r:id="rId6"/>
  </sheets>
  <calcPr/>
  <extLst>
    <ext uri="smNativeData">
      <pm:revision xmlns:pm="smNativeData" day="1790832373" val="1042" rev="124" rev64="64" revOS="3" revMin="124" revMax="0"/>
      <pm:docPrefs xmlns:pm="smNativeData" id="1790832373" fixedDigits="0" showNotice="1" showFrameBounds="1" autoChart="1" recalcOnPrint="1" recalcOnCopy="1" finalRounding="1" compatTextArt="1" tab="567" useDefinedPrintRange="1" printArea="currentSheet"/>
      <pm:compatibility xmlns:pm="smNativeData" id="1790832373" overlapCells="1"/>
      <pm:defCurrency xmlns:pm="smNativeData" id="1790832373"/>
    </ext>
  </extLst>
</workbook>
</file>

<file path=xl/sharedStrings.xml><?xml version="1.0" encoding="utf-8"?>
<sst xmlns="http://schemas.openxmlformats.org/spreadsheetml/2006/main" count="150" uniqueCount="82">
  <si>
    <t>Speaces</t>
  </si>
  <si>
    <t>Nuc_cov</t>
  </si>
  <si>
    <t>Mt_cov</t>
  </si>
  <si>
    <t>info</t>
  </si>
  <si>
    <t>url_at_data</t>
  </si>
  <si>
    <t>url_at_data2</t>
  </si>
  <si>
    <t>SRR_nuc</t>
  </si>
  <si>
    <t>mtGenome</t>
  </si>
  <si>
    <t>nuclear_genome_size</t>
  </si>
  <si>
    <t>Comment</t>
  </si>
  <si>
    <t xml:space="preserve">Gammarus nekkensis </t>
  </si>
  <si>
    <t>Fresh</t>
  </si>
  <si>
    <t>ERR16722743</t>
  </si>
  <si>
    <t>Есть у меня собранный</t>
  </si>
  <si>
    <t>6.24</t>
  </si>
  <si>
    <t xml:space="preserve">Gammarus pulex </t>
  </si>
  <si>
    <t>https://www.ncbi.nlm.nih.gov/sra/ERX14111541[accn]</t>
  </si>
  <si>
    <t>https://trace.ncbi.nlm.nih.gov/Traces/?view=run_browser&amp;acc=ERR14710114&amp;display=metadata</t>
  </si>
  <si>
    <t>ERR14710114</t>
  </si>
  <si>
    <t>Нет в NCBI</t>
  </si>
  <si>
    <t>Gammarus fossarum</t>
  </si>
  <si>
    <t xml:space="preserve">Hyalella azteca </t>
  </si>
  <si>
    <t>https://www.ncbi.nlm.nih.gov/sra/SRX685180[accn]</t>
  </si>
  <si>
    <t>https://trace.ncbi.nlm.nih.gov/Traces/?view=run_browser&amp;acc=SRR1556042&amp;display=metadata</t>
  </si>
  <si>
    <t>SRR1556042</t>
  </si>
  <si>
    <t>NC_039403.1</t>
  </si>
  <si>
    <t>2.41</t>
  </si>
  <si>
    <t>Eulimnogammarus verrucosus</t>
  </si>
  <si>
    <t>Eulimnogammarus cyaneus</t>
  </si>
  <si>
    <t>3.81</t>
  </si>
  <si>
    <t>Baikalogammarus pullus</t>
  </si>
  <si>
    <t>Platorchestia hallaensis</t>
  </si>
  <si>
    <t>Terra</t>
  </si>
  <si>
    <t>https://www.ncbi.nlm.nih.gov/sra/SRX8958271[accn]</t>
  </si>
  <si>
    <t>https://trace.ncbi.nlm.nih.gov/Traces/?view=run_browser&amp;acc=SRR12464062&amp;display=metadata</t>
  </si>
  <si>
    <t>SRR12464062</t>
  </si>
  <si>
    <t>Не собрался</t>
  </si>
  <si>
    <t>Trinorchestia longiramus</t>
  </si>
  <si>
    <t>https://www.ncbi.nlm.nih.gov/sra/SRX5873151[accn]</t>
  </si>
  <si>
    <t>https://trace.ncbi.nlm.nih.gov/Traces/?view=run_browser&amp;acc=SRR9098169&amp;display=metadata</t>
  </si>
  <si>
    <t>SRR9098169</t>
  </si>
  <si>
    <t>NC_039401.1</t>
  </si>
  <si>
    <t>Talitrus saltator</t>
  </si>
  <si>
    <t>Cryptorchestia remedians</t>
  </si>
  <si>
    <t>Orchestia gammarellus</t>
  </si>
  <si>
    <t>Orchestia grillus</t>
  </si>
  <si>
    <t>https://www.ncbi.nlm.nih.gov/sra/SRX6623696[accn]</t>
  </si>
  <si>
    <t>https://trace.ncbi.nlm.nih.gov/Traces/?view=run_browser&amp;acc=SRR9871010&amp;display=metadata</t>
  </si>
  <si>
    <t>SRR9871010</t>
  </si>
  <si>
    <t>Собрался</t>
  </si>
  <si>
    <t>Platorchestia pacifica</t>
  </si>
  <si>
    <t>https://www.ncbi.nlm.nih.gov/sra/SRX19710454[accn]</t>
  </si>
  <si>
    <t>https://trace.ncbi.nlm.nih.gov/Traces/?view=run_browser&amp;acc=SRR23898669&amp;display=metadata</t>
  </si>
  <si>
    <t>SRR23898669</t>
  </si>
  <si>
    <t>Не собрался но стоит повторить митобим</t>
  </si>
  <si>
    <t>Platorchestia parapacifica</t>
  </si>
  <si>
    <t>Parhyale hawaiensis</t>
  </si>
  <si>
    <t>salinity</t>
  </si>
  <si>
    <t>https://www.ncbi.nlm.nih.gov/sra/SRX1453667[accn]</t>
  </si>
  <si>
    <t>https://trace.ncbi.nlm.nih.gov/Traces/?view=run_browser&amp;acc=SRR2962758&amp;display=metadata</t>
  </si>
  <si>
    <t>SRR2962758</t>
  </si>
  <si>
    <t>NC_039402.1</t>
  </si>
  <si>
    <t xml:space="preserve">Echinogammarus marinus </t>
  </si>
  <si>
    <t>Gammarus locusta</t>
  </si>
  <si>
    <t xml:space="preserve">Gammarus duebeni </t>
  </si>
  <si>
    <t>NC_017760.1</t>
  </si>
  <si>
    <t>Caprella mutica</t>
  </si>
  <si>
    <t>https://www.ncbi.nlm.nih.gov/sra/SRX28912960[accn]</t>
  </si>
  <si>
    <t>https://trace.ncbi.nlm.nih.gov/Traces/?view=run_browser&amp;acc=SRR33686680&amp;display=metadata</t>
  </si>
  <si>
    <t>SRR33686680</t>
  </si>
  <si>
    <t>NC_014492.1</t>
  </si>
  <si>
    <t>Hirondellea gigas</t>
  </si>
  <si>
    <t>https://www.ncbi.nlm.nih.gov/sra/DRX080432[accn]</t>
  </si>
  <si>
    <t>https://trace.ncbi.nlm.nih.gov/Traces/?view=run_browser&amp;acc=DRR086603&amp;display=metadata</t>
  </si>
  <si>
    <t>DRR086603</t>
  </si>
  <si>
    <t>The following published raw data sets and assembled genomes were used to check the ratio between mitochondrial and nuclear genome coverage:  raw data sets - Gammarus nekkensis (raw reads ERR16722743, )</t>
  </si>
  <si>
    <t>sample</t>
  </si>
  <si>
    <t>nuclear_cov</t>
  </si>
  <si>
    <t>mt_cov</t>
  </si>
  <si>
    <t>group</t>
  </si>
  <si>
    <t>mt_genome_size</t>
  </si>
  <si>
    <t>Eulimnogammarus verrucosus S</t>
  </si>
</sst>
</file>

<file path=xl/styles.xml><?xml version="1.0" encoding="utf-8"?>
<styleSheet xmlns="http://schemas.openxmlformats.org/spreadsheetml/2006/main">
  <numFmts count="8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2">
    <font>
      <name val="宋体"/>
      <color rgb="FF000000"/>
      <sz val="11"/>
      <extLst>
        <ext uri="smNativeData">
          <pm:charSpec xmlns:pm="smNativeData" id="1790832373" ulstyle="none" kern="1">
            <pm:latin face="宋体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90832373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</fonts>
  <fills count="8">
    <fill>
      <patternFill patternType="none"/>
    </fill>
    <fill>
      <patternFill patternType="gray125"/>
    </fill>
    <fill>
      <patternFill patternType="solid">
        <fgColor rgb="FFFFFF9E"/>
        <bgColor rgb="FFFFFFFF"/>
        <extLst>
          <ext uri="smNativeData">
            <pm:shade xmlns:pm="smNativeData" id="1790832373" type="1" fgLvl="38" fgClr="00FFFF00" bgLvl="62" bgClr="00FFFFFF"/>
          </ext>
        </extLst>
      </patternFill>
    </fill>
    <fill>
      <patternFill patternType="solid">
        <fgColor rgb="FF9E9EFF"/>
        <bgColor rgb="FFFFFFFF"/>
        <extLst>
          <ext uri="smNativeData">
            <pm:shade xmlns:pm="smNativeData" id="1790832373" type="1" fgLvl="38" fgClr="000000FF" bgLvl="62" bgClr="00FFFFFF"/>
          </ext>
        </extLst>
      </patternFill>
    </fill>
    <fill>
      <patternFill patternType="solid">
        <fgColor rgb="FFCECE9E"/>
        <bgColor rgb="FFFFFFFF"/>
        <extLst>
          <ext uri="smNativeData">
            <pm:shade xmlns:pm="smNativeData" id="1790832373" type="1" fgLvl="38" fgClr="007F7F00" bgLvl="62" bgClr="00FFFFFF"/>
          </ext>
        </extLst>
      </patternFill>
    </fill>
    <fill>
      <patternFill patternType="solid">
        <fgColor rgb="FFFF0000"/>
        <bgColor rgb="FFFFFFFF"/>
        <extLst>
          <ext uri="smNativeData">
            <pm:shade xmlns:pm="smNativeData" id="1790832373" type="1" fgLvl="100" fgClr="00FF0000" bgLvl="0" bgClr="00000000"/>
          </ext>
        </extLst>
      </patternFill>
    </fill>
    <fill>
      <patternFill patternType="solid">
        <fgColor rgb="FFFF3D3D"/>
        <bgColor rgb="FFFFFFFF"/>
        <extLst>
          <ext uri="smNativeData">
            <pm:shade xmlns:pm="smNativeData" id="1790832373" type="1" fgLvl="76" fgClr="00FF0000" bgLvl="24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90832373" type="1" fgLvl="100" fgClr="00FFFFFF" bgLvl="100" bgClr="00000000"/>
          </ext>
        </extLst>
      </patternFill>
    </fill>
  </fills>
  <borders count="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083237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083237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083237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083237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083237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083237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0832373"/>
        </ext>
      </extLst>
    </border>
  </borders>
  <cellStyleXfs count="1">
    <xf numFmtId="0" fontId="0" fillId="0" borderId="0" applyNumberFormat="1" applyFont="1" applyFill="1" applyBorder="1" applyAlignment="1" applyProtection="1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>
      <alignment vertical="center"/>
    </xf>
    <xf numFmtId="0" fontId="0" fillId="3" borderId="2" xfId="0" applyFill="1">
      <alignment vertical="center"/>
    </xf>
    <xf numFmtId="0" fontId="0" fillId="4" borderId="3" xfId="0" applyFill="1">
      <alignment vertical="center"/>
    </xf>
    <xf numFmtId="0" fontId="0" fillId="5" borderId="4" xfId="0" applyFill="1">
      <alignment vertical="center"/>
    </xf>
    <xf numFmtId="0" fontId="0" fillId="6" borderId="5" xfId="0" applyFill="1">
      <alignment vertical="center"/>
    </xf>
  </cellXfs>
  <cellStyles count="1">
    <cellStyle name="Normal" xfId="0" builtinId="0" customBuiltin="1"/>
  </cellStyles>
  <tableStyles count="0"/>
  <extLst>
    <ext uri="smNativeData">
      <pm:charStyles xmlns:pm="smNativeData" id="1790832373" count="1">
        <pm:charStyle name="Обычный" fontId="0" Id="1"/>
      </pm:charStyles>
      <pm:colors xmlns:pm="smNativeData" id="1790832373" count="35">
        <pm:color name="Цвет 24" rgb="808001"/>
        <pm:color name="Цвет 25" rgb="A3A300"/>
        <pm:color name="Цвет 26" rgb="D1D100"/>
        <pm:color name="Цвет 27" rgb="FFFF3D"/>
        <pm:color name="Цвет 28" rgb="FFFF5C"/>
        <pm:color name="Цвет 29" rgb="FFFF9E"/>
        <pm:color name="Цвет 30" rgb="9EFF9E"/>
        <pm:color name="Цвет 31" rgb="9EFFFF"/>
        <pm:color name="Цвет 32" rgb="5CFFFF"/>
        <pm:color name="Цвет 33" rgb="3DFFFF"/>
        <pm:color name="Цвет 34" rgb="3D3DFF"/>
        <pm:color name="Цвет 35" rgb="5C5CFF"/>
        <pm:color name="Цвет 36" rgb="9E9EFF"/>
        <pm:color name="Цвет 37" rgb="E0E0FF"/>
        <pm:color name="Цвет 38" rgb="3DFF3D"/>
        <pm:color name="Цвет 39" rgb="5CFF5C"/>
        <pm:color name="Цвет 40" rgb="FF9EFF"/>
        <pm:color name="Цвет 41" rgb="CECE9E"/>
        <pm:color name="Цвет 42" rgb="800101"/>
        <pm:color name="Цвет 43" rgb="A30000"/>
        <pm:color name="Цвет 44" rgb="D10000"/>
        <pm:color name="Цвет 45" rgb="FF3D3D"/>
        <pm:color name="Цвет 46" rgb="FF5C5C"/>
        <pm:color name="Цвет 47" rgb="FF9E9E"/>
        <pm:color name="Цвет 48" rgb="00A300"/>
        <pm:color name="Цвет 49" rgb="00D100"/>
        <pm:color name="Цвет 50" rgb="018080"/>
        <pm:color name="Цвет 51" rgb="00A3A3"/>
        <pm:color name="Цвет 52" rgb="00D1D1"/>
        <pm:color name="Цвет 53" rgb="0000D1"/>
        <pm:color name="Цвет 54" rgb="FF5CFF"/>
        <pm:color name="Цвет 55" rgb="018001"/>
        <pm:color name="Цвет 56" rgb="9E9E3D"/>
        <pm:color name="Цвет 57" rgb="ADAD5C"/>
        <pm:color name="Цвет 58" rgb="FF3DFF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宋体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view="normal" workbookViewId="0">
      <selection activeCell="F26" sqref="F26"/>
    </sheetView>
  </sheetViews>
  <sheetFormatPr defaultRowHeight="13.60"/>
  <cols>
    <col min="1" max="1" width="25.209091" customWidth="1"/>
    <col min="2" max="3" width="26.681818" customWidth="1"/>
    <col min="4" max="4" width="35.818182" customWidth="1"/>
    <col min="5" max="5" width="11.845455" customWidth="1"/>
    <col min="6" max="6" width="14.172727" customWidth="1"/>
    <col min="7" max="7" width="16.500000" customWidth="1"/>
    <col min="8" max="8" width="20.71818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9">
      <c r="A2" s="2" t="s">
        <v>10</v>
      </c>
      <c r="B2" t="n">
        <v>1.66999999999999993</v>
      </c>
      <c r="C2" t="n">
        <v>539.399999999999977</v>
      </c>
      <c r="D2" t="s">
        <v>11</v>
      </c>
      <c r="G2" t="s">
        <v>12</v>
      </c>
      <c r="H2" t="s">
        <v>13</v>
      </c>
      <c r="I2" t="s">
        <v>14</v>
      </c>
    </row>
    <row r="3" spans="1:8" s="4" customFormat="1">
      <c r="A3" s="4" t="s">
        <v>15</v>
      </c>
      <c r="D3" s="4" t="s">
        <v>11</v>
      </c>
      <c r="E3" s="4" t="s">
        <v>16</v>
      </c>
      <c r="F3" s="4" t="s">
        <v>17</v>
      </c>
      <c r="G3" s="4" t="s">
        <v>18</v>
      </c>
      <c r="H3" s="4" t="s">
        <v>19</v>
      </c>
    </row>
    <row r="4" spans="1:4" s="4" customFormat="1">
      <c r="A4" s="4" t="s">
        <v>20</v>
      </c>
      <c r="D4" s="4" t="s">
        <v>11</v>
      </c>
    </row>
    <row r="5" spans="1:9">
      <c r="A5" s="2" t="s">
        <v>21</v>
      </c>
      <c r="B5" t="n">
        <v>2.93000000000000007</v>
      </c>
      <c r="C5" t="n">
        <v>1081.70000000000005</v>
      </c>
      <c r="D5" t="s">
        <v>11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</row>
    <row r="6" spans="1:9">
      <c r="A6" s="2" t="s">
        <v>27</v>
      </c>
      <c r="B6" t="n">
        <v>1.71999999999999993</v>
      </c>
      <c r="C6" t="n">
        <v>53.6000000000000014</v>
      </c>
      <c r="D6" t="s">
        <v>11</v>
      </c>
      <c r="H6" t="s">
        <v>13</v>
      </c>
      <c r="I6" t="n">
        <v>6.09999999999999964</v>
      </c>
    </row>
    <row r="7" spans="1:9">
      <c r="A7" s="2" t="s">
        <v>28</v>
      </c>
      <c r="B7" t="n">
        <v>2.75999999999999979</v>
      </c>
      <c r="C7" t="n">
        <v>132.300000000000011</v>
      </c>
      <c r="D7" t="s">
        <v>11</v>
      </c>
      <c r="H7" t="s">
        <v>13</v>
      </c>
      <c r="I7" t="s">
        <v>29</v>
      </c>
    </row>
    <row r="8" spans="1:9">
      <c r="A8" s="2" t="s">
        <v>30</v>
      </c>
      <c r="B8" t="n">
        <v>4.87999999999999989</v>
      </c>
      <c r="C8" t="n">
        <v>750.399999999999864</v>
      </c>
      <c r="D8" t="s">
        <v>11</v>
      </c>
      <c r="H8" t="s">
        <v>13</v>
      </c>
      <c r="I8" t="n">
        <v>2.14999999999999991</v>
      </c>
    </row>
    <row r="9" spans="1:10" s="5" customFormat="1">
      <c r="A9" s="5" t="s">
        <v>31</v>
      </c>
      <c r="D9" s="5" t="s">
        <v>32</v>
      </c>
      <c r="E9" s="5" t="s">
        <v>33</v>
      </c>
      <c r="F9" s="5" t="s">
        <v>34</v>
      </c>
      <c r="G9" s="5" t="s">
        <v>35</v>
      </c>
      <c r="H9" s="5" t="s">
        <v>19</v>
      </c>
      <c r="J9" s="5" t="s">
        <v>36</v>
      </c>
    </row>
    <row r="10" spans="1:9">
      <c r="A10" s="3" t="s">
        <v>37</v>
      </c>
      <c r="B10" t="n">
        <v>6.37000000000000011</v>
      </c>
      <c r="C10" t="n">
        <v>432.300000000000011</v>
      </c>
      <c r="D10" t="s">
        <v>32</v>
      </c>
      <c r="E10" t="s">
        <v>38</v>
      </c>
      <c r="F10" t="s">
        <v>39</v>
      </c>
      <c r="G10" t="s">
        <v>40</v>
      </c>
      <c r="H10" t="s">
        <v>41</v>
      </c>
      <c r="I10" t="n">
        <v>1.1100000000000001</v>
      </c>
    </row>
    <row r="11" spans="1:4" s="4" customFormat="1">
      <c r="A11" s="4" t="s">
        <v>42</v>
      </c>
      <c r="D11" s="4" t="s">
        <v>32</v>
      </c>
    </row>
    <row r="12" spans="1:4" s="4" customFormat="1">
      <c r="A12" s="4" t="s">
        <v>43</v>
      </c>
      <c r="D12" s="4" t="s">
        <v>32</v>
      </c>
    </row>
    <row r="13" spans="1:4" s="4" customFormat="1">
      <c r="A13" s="4" t="s">
        <v>44</v>
      </c>
      <c r="D13" s="4" t="s">
        <v>32</v>
      </c>
    </row>
    <row r="14" spans="1:10">
      <c r="A14" s="3" t="s">
        <v>45</v>
      </c>
      <c r="B14" t="n">
        <v>10.8400000000000016</v>
      </c>
      <c r="C14" t="n">
        <v>1287.66000000000008</v>
      </c>
      <c r="D14" t="s">
        <v>32</v>
      </c>
      <c r="E14" t="s">
        <v>46</v>
      </c>
      <c r="F14" t="s">
        <v>47</v>
      </c>
      <c r="G14" t="s">
        <v>48</v>
      </c>
      <c r="H14" t="s">
        <v>19</v>
      </c>
      <c r="I14" t="n">
        <v>0.810000000000000142</v>
      </c>
      <c r="J14" t="s">
        <v>49</v>
      </c>
    </row>
    <row r="15" spans="1:10" s="5" customFormat="1">
      <c r="A15" s="5" t="s">
        <v>50</v>
      </c>
      <c r="D15" s="5" t="s">
        <v>32</v>
      </c>
      <c r="E15" s="5" t="s">
        <v>51</v>
      </c>
      <c r="F15" s="5" t="s">
        <v>52</v>
      </c>
      <c r="G15" s="5" t="s">
        <v>53</v>
      </c>
      <c r="H15" s="5" t="s">
        <v>19</v>
      </c>
      <c r="J15" s="5" t="s">
        <v>54</v>
      </c>
    </row>
    <row r="16" spans="1:4" s="5" customFormat="1">
      <c r="A16" s="5" t="s">
        <v>55</v>
      </c>
      <c r="D16" s="5" t="s">
        <v>32</v>
      </c>
    </row>
    <row r="17" spans="1:9">
      <c r="A17" s="1" t="s">
        <v>56</v>
      </c>
      <c r="B17" t="n">
        <v>3.43999999999999995</v>
      </c>
      <c r="C17" t="n">
        <v>704.799999999999955</v>
      </c>
      <c r="D17" t="s">
        <v>57</v>
      </c>
      <c r="E17" t="s">
        <v>58</v>
      </c>
      <c r="F17" t="s">
        <v>59</v>
      </c>
      <c r="G17" t="s">
        <v>60</v>
      </c>
      <c r="H17" t="s">
        <v>61</v>
      </c>
      <c r="I17" t="n">
        <v>3.04999999999999982</v>
      </c>
    </row>
    <row r="18" spans="1:8" s="5" customFormat="1">
      <c r="A18" s="5" t="s">
        <v>62</v>
      </c>
      <c r="D18" s="5" t="s">
        <v>57</v>
      </c>
      <c r="H18" s="5" t="s">
        <v>19</v>
      </c>
    </row>
    <row r="19" spans="1:8" s="5" customFormat="1">
      <c r="A19" s="5" t="s">
        <v>63</v>
      </c>
      <c r="D19" s="5" t="s">
        <v>57</v>
      </c>
      <c r="H19" s="5" t="s">
        <v>19</v>
      </c>
    </row>
    <row r="20" spans="1:8" s="5" customFormat="1">
      <c r="A20" s="5" t="s">
        <v>64</v>
      </c>
      <c r="D20" s="5" t="s">
        <v>57</v>
      </c>
      <c r="H20" s="5" t="s">
        <v>65</v>
      </c>
    </row>
    <row r="21" spans="1:9">
      <c r="A21" s="1" t="s">
        <v>66</v>
      </c>
      <c r="B21" t="n">
        <v>40.4699999999999989</v>
      </c>
      <c r="C21" t="n">
        <v>443.300000000000011</v>
      </c>
      <c r="D21" t="s">
        <v>57</v>
      </c>
      <c r="E21" t="s">
        <v>67</v>
      </c>
      <c r="F21" t="s">
        <v>68</v>
      </c>
      <c r="G21" t="s">
        <v>69</v>
      </c>
      <c r="H21" t="s">
        <v>70</v>
      </c>
      <c r="I21" t="n">
        <v>0.75</v>
      </c>
    </row>
    <row r="22" spans="1:7" s="5" customFormat="1">
      <c r="A22" s="5" t="s">
        <v>71</v>
      </c>
      <c r="D22" s="5" t="s">
        <v>57</v>
      </c>
      <c r="E22" s="5" t="s">
        <v>72</v>
      </c>
      <c r="F22" s="5" t="s">
        <v>73</v>
      </c>
      <c r="G22" s="5" t="s">
        <v>74</v>
      </c>
    </row>
    <row r="30" spans="4:4">
      <c r="D30" t="s">
        <v>75</v>
      </c>
    </row>
  </sheetData>
  <printOptions>
    <extLst>
      <ext uri="smNativeData">
        <pm:pageFlags xmlns:pm="smNativeData" id="1790832373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90832373" l="56" r="56" t="56" b="56" borderId="0" fillId="0" vertical="0"/>
        <pm:footer xmlns:pm="smNativeData" id="1790832373" l="56" r="56" t="56" b="56" borderId="0" fillId="0" vertical="2"/>
      </ext>
    </extLst>
  </headerFooter>
  <extLst>
    <ext uri="smNativeData">
      <pm:sheetPrefs xmlns:pm="smNativeData" day="179083237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S41"/>
  <sheetViews>
    <sheetView view="normal" workbookViewId="0">
      <selection activeCell="A10" sqref="A1:F10"/>
    </sheetView>
  </sheetViews>
  <sheetFormatPr defaultRowHeight="13.60"/>
  <cols>
    <col min="1" max="1" width="25.209091" customWidth="1"/>
    <col min="2" max="2" width="10.600000" customWidth="1"/>
    <col min="3" max="3" width="7.318182" customWidth="1"/>
    <col min="5" max="5" width="18.163636" customWidth="1"/>
    <col min="6" max="6" width="14.381818" customWidth="1"/>
  </cols>
  <sheetData>
    <row r="1" spans="1:6">
      <c r="A1" t="s">
        <v>76</v>
      </c>
      <c r="B1" t="s">
        <v>77</v>
      </c>
      <c r="C1" t="s">
        <v>78</v>
      </c>
      <c r="D1" t="s">
        <v>79</v>
      </c>
      <c r="E1" t="s">
        <v>8</v>
      </c>
      <c r="F1" t="s">
        <v>80</v>
      </c>
    </row>
    <row r="2" spans="1:6">
      <c r="A2" s="2" t="s">
        <v>10</v>
      </c>
      <c r="B2" t="n">
        <v>1.66999999999999993</v>
      </c>
      <c r="C2" t="n">
        <v>539.399999999999977</v>
      </c>
      <c r="D2" t="s">
        <v>11</v>
      </c>
      <c r="E2" t="n">
        <v>6.24000000000000021</v>
      </c>
      <c r="F2" t="n">
        <v>0.0000154249999999999972</v>
      </c>
    </row>
    <row r="3" spans="1:6">
      <c r="A3" s="2" t="s">
        <v>21</v>
      </c>
      <c r="B3" t="n">
        <v>2.93000000000000007</v>
      </c>
      <c r="C3" t="n">
        <v>1081.70000000000005</v>
      </c>
      <c r="D3" t="s">
        <v>11</v>
      </c>
      <c r="E3" t="n">
        <v>2.41000000000000014</v>
      </c>
      <c r="F3" t="n">
        <v>0.0000159909999999999997</v>
      </c>
    </row>
    <row r="4" spans="1:6">
      <c r="A4" s="2" t="s">
        <v>27</v>
      </c>
      <c r="B4" t="n">
        <v>1.71999999999999993</v>
      </c>
      <c r="C4" t="n">
        <v>53.6000000000000014</v>
      </c>
      <c r="D4" t="s">
        <v>11</v>
      </c>
      <c r="E4" t="n">
        <v>6.09999999999999964</v>
      </c>
      <c r="F4" t="n">
        <v>0.0000156010000000000009</v>
      </c>
    </row>
    <row r="5" spans="1:6">
      <c r="A5" s="2" t="s">
        <v>28</v>
      </c>
      <c r="B5" t="n">
        <v>2.75999999999999979</v>
      </c>
      <c r="C5" t="n">
        <v>132.300000000000011</v>
      </c>
      <c r="D5" t="s">
        <v>11</v>
      </c>
      <c r="E5" t="n">
        <v>3.81000000000000014</v>
      </c>
      <c r="F5" t="n">
        <v>0.0000143699999999999957</v>
      </c>
    </row>
    <row r="6" spans="1:6">
      <c r="A6" s="2" t="s">
        <v>30</v>
      </c>
      <c r="B6" t="n">
        <v>4.87999999999999989</v>
      </c>
      <c r="C6" t="n">
        <v>750.399999999999864</v>
      </c>
      <c r="D6" t="s">
        <v>11</v>
      </c>
      <c r="E6" t="n">
        <v>2.14999999999999991</v>
      </c>
      <c r="F6" t="n">
        <v>0.0000162839999999999918</v>
      </c>
    </row>
    <row r="7" spans="1:6">
      <c r="A7" s="3" t="s">
        <v>37</v>
      </c>
      <c r="B7" t="n">
        <v>6.37000000000000011</v>
      </c>
      <c r="C7" t="n">
        <v>432.300000000000011</v>
      </c>
      <c r="D7" t="s">
        <v>32</v>
      </c>
      <c r="E7" t="n">
        <v>1.1100000000000001</v>
      </c>
      <c r="F7" t="n">
        <v>0.0000154009999999999998</v>
      </c>
    </row>
    <row r="8" spans="1:6">
      <c r="A8" s="3" t="s">
        <v>45</v>
      </c>
      <c r="B8" t="n">
        <v>10.8400000000000016</v>
      </c>
      <c r="C8" t="n">
        <v>1287.66000000000008</v>
      </c>
      <c r="D8" t="s">
        <v>32</v>
      </c>
      <c r="E8" t="n">
        <v>0.810000000000000142</v>
      </c>
      <c r="F8" t="n">
        <v>0.0000146100000000000012</v>
      </c>
    </row>
    <row r="9" spans="1:6">
      <c r="A9" s="1" t="s">
        <v>56</v>
      </c>
      <c r="B9" t="n">
        <v>3.43999999999999995</v>
      </c>
      <c r="C9" t="n">
        <v>704.799999999999955</v>
      </c>
      <c r="D9" t="s">
        <v>57</v>
      </c>
      <c r="E9" t="n">
        <v>3.04999999999999982</v>
      </c>
      <c r="F9" t="n">
        <v>0.0000157769999999999992</v>
      </c>
    </row>
    <row r="10" spans="1:6">
      <c r="A10" s="1" t="s">
        <v>66</v>
      </c>
      <c r="B10" t="n">
        <v>40.4699999999999989</v>
      </c>
      <c r="C10" t="n">
        <v>443.300000000000011</v>
      </c>
      <c r="D10" t="s">
        <v>57</v>
      </c>
      <c r="E10" t="n">
        <v>0.75</v>
      </c>
      <c r="F10" t="n">
        <v>0.0000154269999999999996</v>
      </c>
    </row>
    <row r="32" spans="19:19">
      <c r="S32">
        <f>F2/1000000000</f>
        <v>1.542500000000000117E-14</v>
      </c>
    </row>
    <row r="33" spans="19:19">
      <c r="S33">
        <f>F3/1000000000</f>
        <v>1.599099999999999972E-14</v>
      </c>
    </row>
    <row r="34" spans="19:19">
      <c r="S34">
        <f>F4/1000000000</f>
        <v>1.560100000000000087E-14</v>
      </c>
    </row>
    <row r="35" spans="19:19">
      <c r="S35">
        <f>F5/1000000000</f>
        <v>1.436999999999999961E-14</v>
      </c>
    </row>
    <row r="36" spans="19:19">
      <c r="S36">
        <f>F6/1000000000</f>
        <v>1.628400000000000034E-14</v>
      </c>
    </row>
    <row r="37" spans="19:19">
      <c r="S37">
        <f>F7/1000000000</f>
        <v>1.54009999999999992E-14</v>
      </c>
    </row>
    <row r="38" spans="19:19">
      <c r="S38">
        <f>F8/1000000000</f>
        <v>1.461000000000000035E-14</v>
      </c>
    </row>
    <row r="39" spans="19:19">
      <c r="S39">
        <f>F9/1000000000</f>
        <v>1.577700000000000058E-14</v>
      </c>
    </row>
    <row r="40" spans="19:19">
      <c r="S40">
        <f>F10/1000000000</f>
        <v>1.542700000000000081E-14</v>
      </c>
    </row>
    <row r="41" spans="19:19">
      <c r="S41">
        <f>F11/1000000000</f>
        <v>0</v>
      </c>
    </row>
  </sheetData>
  <printOptions>
    <extLst>
      <ext uri="smNativeData">
        <pm:pageFlags xmlns:pm="smNativeData" id="1790832373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90832373" l="56" r="56" t="56" b="56" borderId="0" fillId="0" vertical="0"/>
        <pm:footer xmlns:pm="smNativeData" id="1790832373" l="56" r="56" t="56" b="56" borderId="0" fillId="0" vertical="2"/>
      </ext>
    </extLst>
  </headerFooter>
  <extLst>
    <ext uri="smNativeData">
      <pm:sheetPrefs xmlns:pm="smNativeData" day="179083237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tabSelected="1" view="normal" workbookViewId="0">
      <selection activeCell="E3" sqref="E3"/>
    </sheetView>
  </sheetViews>
  <sheetFormatPr defaultRowHeight="13.60"/>
  <cols>
    <col min="1" max="1" width="25.209091" customWidth="1"/>
    <col min="5" max="5" width="18.163636" customWidth="1"/>
  </cols>
  <sheetData>
    <row r="1" spans="1:6">
      <c r="A1" t="s">
        <v>76</v>
      </c>
      <c r="B1" t="s">
        <v>77</v>
      </c>
      <c r="C1" t="s">
        <v>78</v>
      </c>
      <c r="D1" t="s">
        <v>79</v>
      </c>
      <c r="E1" t="s">
        <v>8</v>
      </c>
      <c r="F1" t="s">
        <v>80</v>
      </c>
    </row>
    <row r="2" spans="1:6">
      <c r="A2" s="2" t="s">
        <v>10</v>
      </c>
      <c r="B2" t="n">
        <v>1.66999999999999993</v>
      </c>
      <c r="C2" t="n">
        <v>539.399999999999977</v>
      </c>
      <c r="D2" t="s">
        <v>11</v>
      </c>
      <c r="E2" t="n">
        <v>6.24000000000000021</v>
      </c>
      <c r="F2" t="n">
        <v>0.0000154249999999999972</v>
      </c>
    </row>
    <row r="3" spans="1:6">
      <c r="A3" s="2" t="s">
        <v>21</v>
      </c>
      <c r="B3" t="n">
        <v>2.93000000000000007</v>
      </c>
      <c r="C3" t="n">
        <v>1081.70000000000005</v>
      </c>
      <c r="D3" t="s">
        <v>11</v>
      </c>
      <c r="E3" t="n">
        <v>2.41000000000000014</v>
      </c>
      <c r="F3" t="n">
        <v>0.0000159909999999999997</v>
      </c>
    </row>
    <row r="4" spans="1:6">
      <c r="A4" s="2" t="s">
        <v>81</v>
      </c>
      <c r="B4" t="n">
        <v>1.31000000000000005</v>
      </c>
      <c r="C4" t="n">
        <v>53.6000000000000014</v>
      </c>
      <c r="D4" t="s">
        <v>11</v>
      </c>
      <c r="E4" t="n">
        <v>8</v>
      </c>
      <c r="F4" t="n">
        <v>0.0000156010000000000009</v>
      </c>
    </row>
    <row r="5" spans="1:6">
      <c r="A5" s="2" t="s">
        <v>28</v>
      </c>
      <c r="B5" t="n">
        <v>2.75999999999999979</v>
      </c>
      <c r="C5" t="n">
        <v>132.300000000000011</v>
      </c>
      <c r="D5" t="s">
        <v>11</v>
      </c>
      <c r="E5" t="n">
        <v>3.81000000000000014</v>
      </c>
      <c r="F5" t="n">
        <v>0.0000143699999999999957</v>
      </c>
    </row>
    <row r="6" spans="1:6">
      <c r="A6" s="2" t="s">
        <v>30</v>
      </c>
      <c r="B6" t="n">
        <v>4.87999999999999989</v>
      </c>
      <c r="C6" t="n">
        <v>750.399999999999864</v>
      </c>
      <c r="D6" t="s">
        <v>11</v>
      </c>
      <c r="E6" t="n">
        <v>2.14999999999999991</v>
      </c>
      <c r="F6" t="n">
        <v>0.0000162839999999999918</v>
      </c>
    </row>
    <row r="7" spans="1:6">
      <c r="A7" s="3" t="s">
        <v>37</v>
      </c>
      <c r="B7" t="n">
        <v>6.37000000000000011</v>
      </c>
      <c r="C7" t="n">
        <v>432.300000000000011</v>
      </c>
      <c r="D7" t="s">
        <v>32</v>
      </c>
      <c r="E7" t="n">
        <v>1.1100000000000001</v>
      </c>
      <c r="F7" t="n">
        <v>0.0000154009999999999998</v>
      </c>
    </row>
    <row r="8" spans="1:6">
      <c r="A8" s="3" t="s">
        <v>45</v>
      </c>
      <c r="B8" t="n">
        <v>10.8400000000000016</v>
      </c>
      <c r="C8" t="n">
        <v>1287.66000000000008</v>
      </c>
      <c r="D8" t="s">
        <v>32</v>
      </c>
      <c r="E8" t="n">
        <v>0.810000000000000142</v>
      </c>
      <c r="F8" t="n">
        <v>0.0000146100000000000012</v>
      </c>
    </row>
    <row r="9" spans="1:6">
      <c r="A9" s="1" t="s">
        <v>56</v>
      </c>
      <c r="B9" t="n">
        <v>3.43999999999999995</v>
      </c>
      <c r="C9" t="n">
        <v>704.799999999999955</v>
      </c>
      <c r="D9" t="s">
        <v>57</v>
      </c>
      <c r="E9" t="n">
        <v>3.04999999999999982</v>
      </c>
      <c r="F9" t="n">
        <v>0.0000157769999999999992</v>
      </c>
    </row>
    <row r="10" spans="1:6">
      <c r="A10" s="1" t="s">
        <v>66</v>
      </c>
      <c r="B10" t="n">
        <v>40.4699999999999989</v>
      </c>
      <c r="C10" t="n">
        <v>443.300000000000011</v>
      </c>
      <c r="D10" t="s">
        <v>57</v>
      </c>
      <c r="E10" t="n">
        <v>0.75</v>
      </c>
      <c r="F10" t="n">
        <v>0.0000154269999999999996</v>
      </c>
    </row>
  </sheetData>
  <printOptions>
    <extLst>
      <ext uri="smNativeData">
        <pm:pageFlags xmlns:pm="smNativeData" id="1790832373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90832373" l="56" r="56" t="56" b="56" borderId="0" fillId="0" vertical="0"/>
        <pm:footer xmlns:pm="smNativeData" id="1790832373" l="56" r="56" t="56" b="56" borderId="0" fillId="0" vertical="2"/>
      </ext>
    </extLst>
  </headerFooter>
  <extLst>
    <ext uri="smNativeData">
      <pm:sheetPrefs xmlns:pm="smNativeData" day="179083237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wps</dc:creator>
  <cp:keywords/>
  <dc:description/>
  <cp:lastModifiedBy>andrei</cp:lastModifiedBy>
  <cp:revision>0</cp:revision>
  <dcterms:created xsi:type="dcterms:W3CDTF">2018-05-25T11:28:45Z</dcterms:created>
  <dcterms:modified xsi:type="dcterms:W3CDTF">2026-10-01T05:26:13Z</dcterms:modified>
</cp:coreProperties>
</file>